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9"/>
  <workbookPr/>
  <mc:AlternateContent xmlns:mc="http://schemas.openxmlformats.org/markup-compatibility/2006">
    <mc:Choice Requires="x15">
      <x15ac:absPath xmlns:x15ac="http://schemas.microsoft.com/office/spreadsheetml/2010/11/ac" url="C:\Users\thoma\Projects\EAROS\tools\scoring-sheets\"/>
    </mc:Choice>
  </mc:AlternateContent>
  <xr:revisionPtr revIDLastSave="0" documentId="8_{82C87C67-770C-4E4D-8025-5A169A2EDF75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Reference Architecture Assessme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6" i="1" l="1"/>
  <c r="B45" i="1"/>
  <c r="B44" i="1"/>
</calcChain>
</file>

<file path=xl/sharedStrings.xml><?xml version="1.0" encoding="utf-8"?>
<sst xmlns="http://schemas.openxmlformats.org/spreadsheetml/2006/main" count="118" uniqueCount="89">
  <si>
    <t>EAROS v2.0 — Reference Architecture Assessment (Core + Profile)</t>
  </si>
  <si>
    <t>Artifact ID</t>
  </si>
  <si>
    <t>Artifact Type</t>
  </si>
  <si>
    <t>reference_architecture</t>
  </si>
  <si>
    <t>Date</t>
  </si>
  <si>
    <t>Artifact Title</t>
  </si>
  <si>
    <t>Version</t>
  </si>
  <si>
    <t>Evaluator</t>
  </si>
  <si>
    <t>Rubric</t>
  </si>
  <si>
    <t>EAROS-CORE-002 + EAROS-REFARCH-001</t>
  </si>
  <si>
    <t>Profiles</t>
  </si>
  <si>
    <t>Mode</t>
  </si>
  <si>
    <t>ID</t>
  </si>
  <si>
    <t>Dimension / Criterion</t>
  </si>
  <si>
    <t>Question</t>
  </si>
  <si>
    <t>Gate</t>
  </si>
  <si>
    <t>Score</t>
  </si>
  <si>
    <t>Confidence</t>
  </si>
  <si>
    <t>Rationale / Evidence</t>
  </si>
  <si>
    <t>Ev. Class</t>
  </si>
  <si>
    <t>Evidence Gaps</t>
  </si>
  <si>
    <t>Actions</t>
  </si>
  <si>
    <t>CORE</t>
  </si>
  <si>
    <t>D1: Stakeholder and Purpose Fit</t>
  </si>
  <si>
    <t>STK-01</t>
  </si>
  <si>
    <t>Stakeholders, purpose, and review context identified?</t>
  </si>
  <si>
    <t>MAJOR</t>
  </si>
  <si>
    <t>STK-02</t>
  </si>
  <si>
    <t>Concerns mapped to views/sections?</t>
  </si>
  <si>
    <t>—</t>
  </si>
  <si>
    <t>D2: Scope and Boundary Clarity</t>
  </si>
  <si>
    <t>SCP-01</t>
  </si>
  <si>
    <t>Scope, boundaries, assumptions, and exclusions defined?</t>
  </si>
  <si>
    <t>CRITICAL</t>
  </si>
  <si>
    <t>D3: Concern Coverage</t>
  </si>
  <si>
    <t>CVP-01</t>
  </si>
  <si>
    <t>Views fit stakeholder concerns and review purpose?</t>
  </si>
  <si>
    <t>D4: Traceability</t>
  </si>
  <si>
    <t>TRC-01</t>
  </si>
  <si>
    <t>Business drivers traceably connected to architecture?</t>
  </si>
  <si>
    <t>D5: Internal Consistency</t>
  </si>
  <si>
    <t>CON-01</t>
  </si>
  <si>
    <t>Terms, structures, interfaces consistent across sections?</t>
  </si>
  <si>
    <t>D6: Risks and Tradeoffs</t>
  </si>
  <si>
    <t>RAT-01</t>
  </si>
  <si>
    <t>Key risks, assumptions, constraints, tradeoffs identified?</t>
  </si>
  <si>
    <t>D7: Standards Compliance</t>
  </si>
  <si>
    <t>CMP-01</t>
  </si>
  <si>
    <t>Alignment to standards, policies, and controls shown?</t>
  </si>
  <si>
    <t>D8: Actionability</t>
  </si>
  <si>
    <t>ACT-01</t>
  </si>
  <si>
    <t>Delivery teams can act without major reinterpretation?</t>
  </si>
  <si>
    <t>D9: Maintainability</t>
  </si>
  <si>
    <t>MNT-01</t>
  </si>
  <si>
    <t>Ownership, update expectations, provenance identified?</t>
  </si>
  <si>
    <t>REFERENCE ARCHITECTURE PROFILE CRITERIA</t>
  </si>
  <si>
    <t>PROFILE</t>
  </si>
  <si>
    <t>RA-D1: Architecture Views and Completeness</t>
  </si>
  <si>
    <t>RA-VIEW-01</t>
  </si>
  <si>
    <t>Context, functional, deployment, and data flow views included?</t>
  </si>
  <si>
    <t>RA-VIEW-02</t>
  </si>
  <si>
    <t>Diagrams machine-readable or with structured element catalogs?</t>
  </si>
  <si>
    <t>RA-D2: Prescriptiveness and Decisions</t>
  </si>
  <si>
    <t>RA-DEC-01</t>
  </si>
  <si>
    <t>Key decisions documented with context, options, rationale?</t>
  </si>
  <si>
    <t>RA-DEC-02</t>
  </si>
  <si>
    <t>Fixed vs configurable elements clearly classified?</t>
  </si>
  <si>
    <t>RA-D3: Operational Readiness</t>
  </si>
  <si>
    <t>RA-OPS-01</t>
  </si>
  <si>
    <t>Monitoring, alerting, scaling, and DR guidance included?</t>
  </si>
  <si>
    <t>RA-D4: Implementation Actionability</t>
  </si>
  <si>
    <t>RA-IMP-01</t>
  </si>
  <si>
    <t>IaC templates, API specs, or starter kits provided?</t>
  </si>
  <si>
    <t>RA-IMP-02</t>
  </si>
  <si>
    <t>Clear getting-started guide or golden path for adopters?</t>
  </si>
  <si>
    <t>RA-D5: Quality Attributes</t>
  </si>
  <si>
    <t>RA-QA-01</t>
  </si>
  <si>
    <t>Quality attributes with measurable targets and validation?</t>
  </si>
  <si>
    <t>RA-D6: Reusability and Evolution</t>
  </si>
  <si>
    <t>RA-REU-01</t>
  </si>
  <si>
    <t>Version-controlled with evolution roadmap?</t>
  </si>
  <si>
    <t>ASSESSMENT SUMMARY</t>
  </si>
  <si>
    <t>Overall Score (Core + Profile)</t>
  </si>
  <si>
    <t>Core Meta-Rubric Score</t>
  </si>
  <si>
    <t>Profile Score</t>
  </si>
  <si>
    <t>Gate Failures</t>
  </si>
  <si>
    <t>Overall Status</t>
  </si>
  <si>
    <t>Decision Summary</t>
  </si>
  <si>
    <t>Challenger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</si>
</sst>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9"/>
      <name val="Arial"/>
    </font>
    <font>
      <b/>
      <sz val="10"/>
      <color rgb="FFFFFFFF"/>
      <name val="Arial"/>
    </font>
    <font>
      <sz val="8"/>
      <color rgb="FF999999"/>
      <name val="Arial"/>
    </font>
    <font>
      <b/>
      <sz val="10"/>
      <color rgb="FF002346"/>
      <name val="Arial"/>
    </font>
    <font>
      <sz val="9"/>
      <name val="Arial"/>
    </font>
    <font>
      <b/>
      <sz val="8"/>
      <color rgb="FFED6D03"/>
      <name val="Arial"/>
    </font>
    <font>
      <b/>
      <sz val="11"/>
      <name val="Arial"/>
    </font>
    <font>
      <b/>
      <sz val="8"/>
      <color rgb="FF999999"/>
      <name val="Arial"/>
    </font>
    <font>
      <b/>
      <sz val="8"/>
      <color rgb="FFD3302F"/>
      <name val="Arial"/>
    </font>
    <font>
      <b/>
      <sz val="11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002346"/>
      </patternFill>
    </fill>
    <fill>
      <patternFill patternType="solid">
        <fgColor rgb="FFEBEBE6"/>
      </patternFill>
    </fill>
    <fill>
      <patternFill patternType="solid">
        <fgColor rgb="FFFFF9E6"/>
      </patternFill>
    </fill>
    <fill>
      <patternFill patternType="solid">
        <fgColor rgb="FFD6E4F0"/>
      </patternFill>
    </fill>
    <fill>
      <patternFill patternType="solid">
        <fgColor rgb="FFB48C41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3" borderId="0" xfId="0" applyFont="1" applyFill="1"/>
    <xf numFmtId="0" fontId="0" fillId="4" borderId="1" xfId="0" applyFill="1" applyBorder="1"/>
    <xf numFmtId="0" fontId="3" fillId="2" borderId="1" xfId="0" applyFont="1" applyFill="1" applyBorder="1" applyAlignment="1">
      <alignment horizontal="center" vertical="top" wrapText="1"/>
    </xf>
    <xf numFmtId="0" fontId="4" fillId="5" borderId="1" xfId="0" applyFont="1" applyFill="1" applyBorder="1"/>
    <xf numFmtId="0" fontId="6" fillId="0" borderId="1" xfId="0" applyFont="1" applyBorder="1" applyAlignment="1">
      <alignment horizontal="center" vertical="center"/>
    </xf>
    <xf numFmtId="0" fontId="0" fillId="0" borderId="1" xfId="0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top" wrapText="1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3" borderId="1" xfId="0" applyFont="1" applyFill="1" applyBorder="1"/>
    <xf numFmtId="0" fontId="5" fillId="5" borderId="1" xfId="0" applyFont="1" applyFill="1" applyBorder="1"/>
    <xf numFmtId="0" fontId="0" fillId="5" borderId="1" xfId="0" applyFill="1" applyBorder="1"/>
    <xf numFmtId="0" fontId="11" fillId="2" borderId="0" xfId="0" applyFont="1" applyFill="1" applyAlignment="1">
      <alignment horizontal="center"/>
    </xf>
    <xf numFmtId="0" fontId="0" fillId="2" borderId="0" xfId="0" applyFill="1"/>
    <xf numFmtId="2" fontId="8" fillId="4" borderId="1" xfId="0" applyNumberFormat="1" applyFont="1" applyFill="1" applyBorder="1" applyAlignment="1">
      <alignment vertical="top" wrapText="1"/>
    </xf>
    <xf numFmtId="0" fontId="0" fillId="4" borderId="1" xfId="0" applyFill="1" applyBorder="1"/>
    <xf numFmtId="0" fontId="6" fillId="4" borderId="1" xfId="0" applyFont="1" applyFill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6" borderId="0" xfId="0" applyFont="1" applyFill="1" applyAlignment="1">
      <alignment horizontal="center" vertical="center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tabSelected="1" workbookViewId="0">
      <pane ySplit="6" topLeftCell="A7" activePane="bottomLeft" state="frozen"/>
      <selection pane="bottomLeft" activeCell="B46" sqref="B46:J46"/>
    </sheetView>
  </sheetViews>
  <sheetFormatPr defaultRowHeight="14.5" x14ac:dyDescent="0.35"/>
  <cols>
    <col min="1" max="1" width="10" customWidth="1"/>
    <col min="2" max="2" width="30" customWidth="1"/>
    <col min="3" max="3" width="40" customWidth="1"/>
    <col min="4" max="5" width="10" customWidth="1"/>
    <col min="6" max="6" width="12" customWidth="1"/>
    <col min="7" max="7" width="30" customWidth="1"/>
    <col min="8" max="8" width="10" customWidth="1"/>
    <col min="9" max="10" width="25" customWidth="1"/>
  </cols>
  <sheetData>
    <row r="1" spans="1:10" ht="30" customHeight="1" x14ac:dyDescent="0.35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</row>
    <row r="2" spans="1:10" x14ac:dyDescent="0.35">
      <c r="A2" s="1" t="s">
        <v>1</v>
      </c>
      <c r="B2" s="2"/>
      <c r="C2" s="1" t="s">
        <v>2</v>
      </c>
      <c r="D2" s="2" t="s">
        <v>3</v>
      </c>
      <c r="F2" s="1" t="s">
        <v>4</v>
      </c>
      <c r="G2" s="2"/>
    </row>
    <row r="3" spans="1:10" x14ac:dyDescent="0.35">
      <c r="A3" s="1" t="s">
        <v>5</v>
      </c>
      <c r="B3" s="2"/>
      <c r="C3" s="1" t="s">
        <v>6</v>
      </c>
      <c r="D3" s="2"/>
      <c r="F3" s="1" t="s">
        <v>7</v>
      </c>
      <c r="G3" s="2"/>
    </row>
    <row r="4" spans="1:10" x14ac:dyDescent="0.35">
      <c r="A4" s="1" t="s">
        <v>8</v>
      </c>
      <c r="B4" s="2" t="s">
        <v>9</v>
      </c>
      <c r="C4" s="1" t="s">
        <v>10</v>
      </c>
      <c r="D4" s="2"/>
      <c r="F4" s="1" t="s">
        <v>11</v>
      </c>
      <c r="G4" s="2"/>
    </row>
    <row r="6" spans="1:10" ht="28" customHeight="1" x14ac:dyDescent="0.35">
      <c r="A6" s="3" t="s">
        <v>12</v>
      </c>
      <c r="B6" s="3" t="s">
        <v>13</v>
      </c>
      <c r="C6" s="3" t="s">
        <v>14</v>
      </c>
      <c r="D6" s="3" t="s">
        <v>15</v>
      </c>
      <c r="E6" s="3" t="s">
        <v>16</v>
      </c>
      <c r="F6" s="3" t="s">
        <v>17</v>
      </c>
      <c r="G6" s="3" t="s">
        <v>18</v>
      </c>
      <c r="H6" s="3" t="s">
        <v>19</v>
      </c>
      <c r="I6" s="3" t="s">
        <v>20</v>
      </c>
      <c r="J6" s="3" t="s">
        <v>21</v>
      </c>
    </row>
    <row r="7" spans="1:10" ht="22" customHeight="1" x14ac:dyDescent="0.35">
      <c r="A7" s="4" t="s">
        <v>22</v>
      </c>
      <c r="B7" s="15" t="s">
        <v>23</v>
      </c>
      <c r="C7" s="16"/>
      <c r="D7" s="16"/>
      <c r="E7" s="16"/>
      <c r="F7" s="16"/>
      <c r="G7" s="16"/>
      <c r="H7" s="16"/>
      <c r="I7" s="16"/>
      <c r="J7" s="16"/>
    </row>
    <row r="8" spans="1:10" ht="40" customHeight="1" x14ac:dyDescent="0.35">
      <c r="A8" s="5" t="s">
        <v>24</v>
      </c>
      <c r="B8" s="6"/>
      <c r="C8" s="7" t="s">
        <v>25</v>
      </c>
      <c r="D8" s="8" t="s">
        <v>26</v>
      </c>
      <c r="E8" s="9"/>
      <c r="F8" s="10"/>
      <c r="G8" s="11"/>
      <c r="H8" s="10"/>
      <c r="I8" s="11"/>
      <c r="J8" s="11"/>
    </row>
    <row r="9" spans="1:10" ht="40" customHeight="1" x14ac:dyDescent="0.35">
      <c r="A9" s="5" t="s">
        <v>27</v>
      </c>
      <c r="B9" s="6"/>
      <c r="C9" s="7" t="s">
        <v>28</v>
      </c>
      <c r="D9" s="12" t="s">
        <v>29</v>
      </c>
      <c r="E9" s="9"/>
      <c r="F9" s="10"/>
      <c r="G9" s="11"/>
      <c r="H9" s="10"/>
      <c r="I9" s="11"/>
      <c r="J9" s="11"/>
    </row>
    <row r="10" spans="1:10" ht="22" customHeight="1" x14ac:dyDescent="0.35">
      <c r="A10" s="4" t="s">
        <v>22</v>
      </c>
      <c r="B10" s="15" t="s">
        <v>30</v>
      </c>
      <c r="C10" s="16"/>
      <c r="D10" s="16"/>
      <c r="E10" s="16"/>
      <c r="F10" s="16"/>
      <c r="G10" s="16"/>
      <c r="H10" s="16"/>
      <c r="I10" s="16"/>
      <c r="J10" s="16"/>
    </row>
    <row r="11" spans="1:10" ht="40" customHeight="1" x14ac:dyDescent="0.35">
      <c r="A11" s="5" t="s">
        <v>31</v>
      </c>
      <c r="B11" s="6"/>
      <c r="C11" s="7" t="s">
        <v>32</v>
      </c>
      <c r="D11" s="13" t="s">
        <v>33</v>
      </c>
      <c r="E11" s="9"/>
      <c r="F11" s="10"/>
      <c r="G11" s="11"/>
      <c r="H11" s="10"/>
      <c r="I11" s="11"/>
      <c r="J11" s="11"/>
    </row>
    <row r="12" spans="1:10" ht="22" customHeight="1" x14ac:dyDescent="0.35">
      <c r="A12" s="4" t="s">
        <v>22</v>
      </c>
      <c r="B12" s="15" t="s">
        <v>34</v>
      </c>
      <c r="C12" s="16"/>
      <c r="D12" s="16"/>
      <c r="E12" s="16"/>
      <c r="F12" s="16"/>
      <c r="G12" s="16"/>
      <c r="H12" s="16"/>
      <c r="I12" s="16"/>
      <c r="J12" s="16"/>
    </row>
    <row r="13" spans="1:10" ht="40" customHeight="1" x14ac:dyDescent="0.35">
      <c r="A13" s="5" t="s">
        <v>35</v>
      </c>
      <c r="B13" s="6"/>
      <c r="C13" s="7" t="s">
        <v>36</v>
      </c>
      <c r="D13" s="12" t="s">
        <v>29</v>
      </c>
      <c r="E13" s="9"/>
      <c r="F13" s="10"/>
      <c r="G13" s="11"/>
      <c r="H13" s="10"/>
      <c r="I13" s="11"/>
      <c r="J13" s="11"/>
    </row>
    <row r="14" spans="1:10" ht="22" customHeight="1" x14ac:dyDescent="0.35">
      <c r="A14" s="4" t="s">
        <v>22</v>
      </c>
      <c r="B14" s="15" t="s">
        <v>37</v>
      </c>
      <c r="C14" s="16"/>
      <c r="D14" s="16"/>
      <c r="E14" s="16"/>
      <c r="F14" s="16"/>
      <c r="G14" s="16"/>
      <c r="H14" s="16"/>
      <c r="I14" s="16"/>
      <c r="J14" s="16"/>
    </row>
    <row r="15" spans="1:10" ht="40" customHeight="1" x14ac:dyDescent="0.35">
      <c r="A15" s="5" t="s">
        <v>38</v>
      </c>
      <c r="B15" s="6"/>
      <c r="C15" s="7" t="s">
        <v>39</v>
      </c>
      <c r="D15" s="8" t="s">
        <v>26</v>
      </c>
      <c r="E15" s="9"/>
      <c r="F15" s="10"/>
      <c r="G15" s="11"/>
      <c r="H15" s="10"/>
      <c r="I15" s="11"/>
      <c r="J15" s="11"/>
    </row>
    <row r="16" spans="1:10" ht="22" customHeight="1" x14ac:dyDescent="0.35">
      <c r="A16" s="4" t="s">
        <v>22</v>
      </c>
      <c r="B16" s="15" t="s">
        <v>40</v>
      </c>
      <c r="C16" s="16"/>
      <c r="D16" s="16"/>
      <c r="E16" s="16"/>
      <c r="F16" s="16"/>
      <c r="G16" s="16"/>
      <c r="H16" s="16"/>
      <c r="I16" s="16"/>
      <c r="J16" s="16"/>
    </row>
    <row r="17" spans="1:10" ht="40" customHeight="1" x14ac:dyDescent="0.35">
      <c r="A17" s="5" t="s">
        <v>41</v>
      </c>
      <c r="B17" s="6"/>
      <c r="C17" s="7" t="s">
        <v>42</v>
      </c>
      <c r="D17" s="12" t="s">
        <v>29</v>
      </c>
      <c r="E17" s="9"/>
      <c r="F17" s="10"/>
      <c r="G17" s="11"/>
      <c r="H17" s="10"/>
      <c r="I17" s="11"/>
      <c r="J17" s="11"/>
    </row>
    <row r="18" spans="1:10" ht="22" customHeight="1" x14ac:dyDescent="0.35">
      <c r="A18" s="4" t="s">
        <v>22</v>
      </c>
      <c r="B18" s="15" t="s">
        <v>43</v>
      </c>
      <c r="C18" s="16"/>
      <c r="D18" s="16"/>
      <c r="E18" s="16"/>
      <c r="F18" s="16"/>
      <c r="G18" s="16"/>
      <c r="H18" s="16"/>
      <c r="I18" s="16"/>
      <c r="J18" s="16"/>
    </row>
    <row r="19" spans="1:10" ht="40" customHeight="1" x14ac:dyDescent="0.35">
      <c r="A19" s="5" t="s">
        <v>44</v>
      </c>
      <c r="B19" s="6"/>
      <c r="C19" s="7" t="s">
        <v>45</v>
      </c>
      <c r="D19" s="12" t="s">
        <v>29</v>
      </c>
      <c r="E19" s="9"/>
      <c r="F19" s="10"/>
      <c r="G19" s="11"/>
      <c r="H19" s="10"/>
      <c r="I19" s="11"/>
      <c r="J19" s="11"/>
    </row>
    <row r="20" spans="1:10" ht="22" customHeight="1" x14ac:dyDescent="0.35">
      <c r="A20" s="4" t="s">
        <v>22</v>
      </c>
      <c r="B20" s="15" t="s">
        <v>46</v>
      </c>
      <c r="C20" s="16"/>
      <c r="D20" s="16"/>
      <c r="E20" s="16"/>
      <c r="F20" s="16"/>
      <c r="G20" s="16"/>
      <c r="H20" s="16"/>
      <c r="I20" s="16"/>
      <c r="J20" s="16"/>
    </row>
    <row r="21" spans="1:10" ht="40" customHeight="1" x14ac:dyDescent="0.35">
      <c r="A21" s="5" t="s">
        <v>47</v>
      </c>
      <c r="B21" s="6"/>
      <c r="C21" s="7" t="s">
        <v>48</v>
      </c>
      <c r="D21" s="13" t="s">
        <v>33</v>
      </c>
      <c r="E21" s="9"/>
      <c r="F21" s="10"/>
      <c r="G21" s="11"/>
      <c r="H21" s="10"/>
      <c r="I21" s="11"/>
      <c r="J21" s="11"/>
    </row>
    <row r="22" spans="1:10" ht="22" customHeight="1" x14ac:dyDescent="0.35">
      <c r="A22" s="4" t="s">
        <v>22</v>
      </c>
      <c r="B22" s="15" t="s">
        <v>49</v>
      </c>
      <c r="C22" s="16"/>
      <c r="D22" s="16"/>
      <c r="E22" s="16"/>
      <c r="F22" s="16"/>
      <c r="G22" s="16"/>
      <c r="H22" s="16"/>
      <c r="I22" s="16"/>
      <c r="J22" s="16"/>
    </row>
    <row r="23" spans="1:10" ht="40" customHeight="1" x14ac:dyDescent="0.35">
      <c r="A23" s="5" t="s">
        <v>50</v>
      </c>
      <c r="B23" s="6"/>
      <c r="C23" s="7" t="s">
        <v>51</v>
      </c>
      <c r="D23" s="12" t="s">
        <v>29</v>
      </c>
      <c r="E23" s="9"/>
      <c r="F23" s="10"/>
      <c r="G23" s="11"/>
      <c r="H23" s="10"/>
      <c r="I23" s="11"/>
      <c r="J23" s="11"/>
    </row>
    <row r="24" spans="1:10" ht="22" customHeight="1" x14ac:dyDescent="0.35">
      <c r="A24" s="4" t="s">
        <v>22</v>
      </c>
      <c r="B24" s="15" t="s">
        <v>52</v>
      </c>
      <c r="C24" s="16"/>
      <c r="D24" s="16"/>
      <c r="E24" s="16"/>
      <c r="F24" s="16"/>
      <c r="G24" s="16"/>
      <c r="H24" s="16"/>
      <c r="I24" s="16"/>
      <c r="J24" s="16"/>
    </row>
    <row r="25" spans="1:10" ht="40" customHeight="1" x14ac:dyDescent="0.35">
      <c r="A25" s="5" t="s">
        <v>53</v>
      </c>
      <c r="B25" s="6"/>
      <c r="C25" s="7" t="s">
        <v>54</v>
      </c>
      <c r="D25" s="12" t="s">
        <v>29</v>
      </c>
      <c r="E25" s="9"/>
      <c r="F25" s="10"/>
      <c r="G25" s="11"/>
      <c r="H25" s="10"/>
      <c r="I25" s="11"/>
      <c r="J25" s="11"/>
    </row>
    <row r="26" spans="1:10" x14ac:dyDescent="0.35">
      <c r="A26" s="24" t="s">
        <v>55</v>
      </c>
      <c r="B26" s="25"/>
      <c r="C26" s="25"/>
      <c r="D26" s="25"/>
      <c r="E26" s="25"/>
      <c r="F26" s="25"/>
      <c r="G26" s="25"/>
      <c r="H26" s="25"/>
      <c r="I26" s="25"/>
      <c r="J26" s="25"/>
    </row>
    <row r="27" spans="1:10" ht="22" customHeight="1" x14ac:dyDescent="0.35">
      <c r="A27" s="4" t="s">
        <v>56</v>
      </c>
      <c r="B27" s="15" t="s">
        <v>57</v>
      </c>
      <c r="C27" s="16"/>
      <c r="D27" s="16"/>
      <c r="E27" s="16"/>
      <c r="F27" s="16"/>
      <c r="G27" s="16"/>
      <c r="H27" s="16"/>
      <c r="I27" s="16"/>
      <c r="J27" s="16"/>
    </row>
    <row r="28" spans="1:10" ht="40" customHeight="1" x14ac:dyDescent="0.35">
      <c r="A28" s="5" t="s">
        <v>58</v>
      </c>
      <c r="B28" s="6"/>
      <c r="C28" s="7" t="s">
        <v>59</v>
      </c>
      <c r="D28" s="8" t="s">
        <v>26</v>
      </c>
      <c r="E28" s="9"/>
      <c r="F28" s="10"/>
      <c r="G28" s="11"/>
      <c r="H28" s="10"/>
      <c r="I28" s="11"/>
      <c r="J28" s="11"/>
    </row>
    <row r="29" spans="1:10" ht="40" customHeight="1" x14ac:dyDescent="0.35">
      <c r="A29" s="5" t="s">
        <v>60</v>
      </c>
      <c r="B29" s="6"/>
      <c r="C29" s="7" t="s">
        <v>61</v>
      </c>
      <c r="D29" s="12" t="s">
        <v>29</v>
      </c>
      <c r="E29" s="9"/>
      <c r="F29" s="10"/>
      <c r="G29" s="11"/>
      <c r="H29" s="10"/>
      <c r="I29" s="11"/>
      <c r="J29" s="11"/>
    </row>
    <row r="30" spans="1:10" ht="22" customHeight="1" x14ac:dyDescent="0.35">
      <c r="A30" s="4" t="s">
        <v>56</v>
      </c>
      <c r="B30" s="15" t="s">
        <v>62</v>
      </c>
      <c r="C30" s="16"/>
      <c r="D30" s="16"/>
      <c r="E30" s="16"/>
      <c r="F30" s="16"/>
      <c r="G30" s="16"/>
      <c r="H30" s="16"/>
      <c r="I30" s="16"/>
      <c r="J30" s="16"/>
    </row>
    <row r="31" spans="1:10" ht="40" customHeight="1" x14ac:dyDescent="0.35">
      <c r="A31" s="5" t="s">
        <v>63</v>
      </c>
      <c r="B31" s="6"/>
      <c r="C31" s="7" t="s">
        <v>64</v>
      </c>
      <c r="D31" s="8" t="s">
        <v>26</v>
      </c>
      <c r="E31" s="9"/>
      <c r="F31" s="10"/>
      <c r="G31" s="11"/>
      <c r="H31" s="10"/>
      <c r="I31" s="11"/>
      <c r="J31" s="11"/>
    </row>
    <row r="32" spans="1:10" ht="40" customHeight="1" x14ac:dyDescent="0.35">
      <c r="A32" s="5" t="s">
        <v>65</v>
      </c>
      <c r="B32" s="6"/>
      <c r="C32" s="7" t="s">
        <v>66</v>
      </c>
      <c r="D32" s="12" t="s">
        <v>29</v>
      </c>
      <c r="E32" s="9"/>
      <c r="F32" s="10"/>
      <c r="G32" s="11"/>
      <c r="H32" s="10"/>
      <c r="I32" s="11"/>
      <c r="J32" s="11"/>
    </row>
    <row r="33" spans="1:10" ht="22" customHeight="1" x14ac:dyDescent="0.35">
      <c r="A33" s="4" t="s">
        <v>56</v>
      </c>
      <c r="B33" s="15" t="s">
        <v>67</v>
      </c>
      <c r="C33" s="16"/>
      <c r="D33" s="16"/>
      <c r="E33" s="16"/>
      <c r="F33" s="16"/>
      <c r="G33" s="16"/>
      <c r="H33" s="16"/>
      <c r="I33" s="16"/>
      <c r="J33" s="16"/>
    </row>
    <row r="34" spans="1:10" ht="40" customHeight="1" x14ac:dyDescent="0.35">
      <c r="A34" s="5" t="s">
        <v>68</v>
      </c>
      <c r="B34" s="6"/>
      <c r="C34" s="7" t="s">
        <v>69</v>
      </c>
      <c r="D34" s="8" t="s">
        <v>26</v>
      </c>
      <c r="E34" s="9"/>
      <c r="F34" s="10"/>
      <c r="G34" s="11"/>
      <c r="H34" s="10"/>
      <c r="I34" s="11"/>
      <c r="J34" s="11"/>
    </row>
    <row r="35" spans="1:10" ht="22" customHeight="1" x14ac:dyDescent="0.35">
      <c r="A35" s="4" t="s">
        <v>56</v>
      </c>
      <c r="B35" s="15" t="s">
        <v>70</v>
      </c>
      <c r="C35" s="16"/>
      <c r="D35" s="16"/>
      <c r="E35" s="16"/>
      <c r="F35" s="16"/>
      <c r="G35" s="16"/>
      <c r="H35" s="16"/>
      <c r="I35" s="16"/>
      <c r="J35" s="16"/>
    </row>
    <row r="36" spans="1:10" ht="40" customHeight="1" x14ac:dyDescent="0.35">
      <c r="A36" s="5" t="s">
        <v>71</v>
      </c>
      <c r="B36" s="6"/>
      <c r="C36" s="7" t="s">
        <v>72</v>
      </c>
      <c r="D36" s="12" t="s">
        <v>29</v>
      </c>
      <c r="E36" s="9"/>
      <c r="F36" s="10"/>
      <c r="G36" s="11"/>
      <c r="H36" s="10"/>
      <c r="I36" s="11"/>
      <c r="J36" s="11"/>
    </row>
    <row r="37" spans="1:10" ht="40" customHeight="1" x14ac:dyDescent="0.35">
      <c r="A37" s="5" t="s">
        <v>73</v>
      </c>
      <c r="B37" s="6"/>
      <c r="C37" s="7" t="s">
        <v>74</v>
      </c>
      <c r="D37" s="12" t="s">
        <v>29</v>
      </c>
      <c r="E37" s="9"/>
      <c r="F37" s="10"/>
      <c r="G37" s="11"/>
      <c r="H37" s="10"/>
      <c r="I37" s="11"/>
      <c r="J37" s="11"/>
    </row>
    <row r="38" spans="1:10" ht="22" customHeight="1" x14ac:dyDescent="0.35">
      <c r="A38" s="4" t="s">
        <v>56</v>
      </c>
      <c r="B38" s="15" t="s">
        <v>75</v>
      </c>
      <c r="C38" s="16"/>
      <c r="D38" s="16"/>
      <c r="E38" s="16"/>
      <c r="F38" s="16"/>
      <c r="G38" s="16"/>
      <c r="H38" s="16"/>
      <c r="I38" s="16"/>
      <c r="J38" s="16"/>
    </row>
    <row r="39" spans="1:10" ht="40" customHeight="1" x14ac:dyDescent="0.35">
      <c r="A39" s="5" t="s">
        <v>76</v>
      </c>
      <c r="B39" s="6"/>
      <c r="C39" s="7" t="s">
        <v>77</v>
      </c>
      <c r="D39" s="8" t="s">
        <v>26</v>
      </c>
      <c r="E39" s="9"/>
      <c r="F39" s="10"/>
      <c r="G39" s="11"/>
      <c r="H39" s="10"/>
      <c r="I39" s="11"/>
      <c r="J39" s="11"/>
    </row>
    <row r="40" spans="1:10" ht="22" customHeight="1" x14ac:dyDescent="0.35">
      <c r="A40" s="4" t="s">
        <v>56</v>
      </c>
      <c r="B40" s="15" t="s">
        <v>78</v>
      </c>
      <c r="C40" s="16"/>
      <c r="D40" s="16"/>
      <c r="E40" s="16"/>
      <c r="F40" s="16"/>
      <c r="G40" s="16"/>
      <c r="H40" s="16"/>
      <c r="I40" s="16"/>
      <c r="J40" s="16"/>
    </row>
    <row r="41" spans="1:10" ht="40" customHeight="1" x14ac:dyDescent="0.35">
      <c r="A41" s="5" t="s">
        <v>79</v>
      </c>
      <c r="B41" s="6"/>
      <c r="C41" s="7" t="s">
        <v>80</v>
      </c>
      <c r="D41" s="12" t="s">
        <v>29</v>
      </c>
      <c r="E41" s="9"/>
      <c r="F41" s="10"/>
      <c r="G41" s="11"/>
      <c r="H41" s="10"/>
      <c r="I41" s="11"/>
      <c r="J41" s="11"/>
    </row>
    <row r="43" spans="1:10" x14ac:dyDescent="0.35">
      <c r="A43" s="17" t="s">
        <v>81</v>
      </c>
      <c r="B43" s="18"/>
      <c r="C43" s="18"/>
      <c r="D43" s="18"/>
      <c r="E43" s="18"/>
      <c r="F43" s="18"/>
      <c r="G43" s="18"/>
      <c r="H43" s="18"/>
      <c r="I43" s="18"/>
      <c r="J43" s="18"/>
    </row>
    <row r="44" spans="1:10" x14ac:dyDescent="0.35">
      <c r="A44" s="14" t="s">
        <v>82</v>
      </c>
      <c r="B44" s="19" t="e">
        <f>AVERAGE(E8,E9,E11,E13,E15,E17,E19,E21,E23,E25,E28,E29,E31,E32,E34,E36,E37,E39,E41)</f>
        <v>#DIV/0!</v>
      </c>
      <c r="C44" s="20"/>
      <c r="D44" s="20"/>
      <c r="E44" s="20"/>
      <c r="F44" s="20"/>
      <c r="G44" s="20"/>
      <c r="H44" s="20"/>
      <c r="I44" s="20"/>
      <c r="J44" s="20"/>
    </row>
    <row r="45" spans="1:10" x14ac:dyDescent="0.35">
      <c r="A45" s="14" t="s">
        <v>83</v>
      </c>
      <c r="B45" s="19" t="e">
        <f>AVERAGE(E8,E9,E11,E13,E15,E17,E19,E21,E23,E25)</f>
        <v>#DIV/0!</v>
      </c>
      <c r="C45" s="20"/>
      <c r="D45" s="20"/>
      <c r="E45" s="20"/>
      <c r="F45" s="20"/>
      <c r="G45" s="20"/>
      <c r="H45" s="20"/>
      <c r="I45" s="20"/>
      <c r="J45" s="20"/>
    </row>
    <row r="46" spans="1:10" x14ac:dyDescent="0.35">
      <c r="A46" s="14" t="s">
        <v>84</v>
      </c>
      <c r="B46" s="19" t="e">
        <f>AVERAGE(E28,E29,E31,E32,E34,E36,E37,E39,E41)</f>
        <v>#DIV/0!</v>
      </c>
      <c r="C46" s="20"/>
      <c r="D46" s="20"/>
      <c r="E46" s="20"/>
      <c r="F46" s="20"/>
      <c r="G46" s="20"/>
      <c r="H46" s="20"/>
      <c r="I46" s="20"/>
      <c r="J46" s="20"/>
    </row>
    <row r="47" spans="1:10" x14ac:dyDescent="0.35">
      <c r="A47" s="14" t="s">
        <v>85</v>
      </c>
      <c r="B47" s="21"/>
      <c r="C47" s="20"/>
      <c r="D47" s="20"/>
      <c r="E47" s="20"/>
      <c r="F47" s="20"/>
      <c r="G47" s="20"/>
      <c r="H47" s="20"/>
      <c r="I47" s="20"/>
      <c r="J47" s="20"/>
    </row>
    <row r="48" spans="1:10" x14ac:dyDescent="0.35">
      <c r="A48" s="14" t="s">
        <v>86</v>
      </c>
      <c r="B48" s="21"/>
      <c r="C48" s="20"/>
      <c r="D48" s="20"/>
      <c r="E48" s="20"/>
      <c r="F48" s="20"/>
      <c r="G48" s="20"/>
      <c r="H48" s="20"/>
      <c r="I48" s="20"/>
      <c r="J48" s="20"/>
    </row>
    <row r="49" spans="1:10" x14ac:dyDescent="0.35">
      <c r="A49" s="14" t="s">
        <v>87</v>
      </c>
      <c r="B49" s="21"/>
      <c r="C49" s="20"/>
      <c r="D49" s="20"/>
      <c r="E49" s="20"/>
      <c r="F49" s="20"/>
      <c r="G49" s="20"/>
      <c r="H49" s="20"/>
      <c r="I49" s="20"/>
      <c r="J49" s="20"/>
    </row>
    <row r="50" spans="1:10" x14ac:dyDescent="0.35">
      <c r="A50" s="14" t="s">
        <v>88</v>
      </c>
      <c r="B50" s="21"/>
      <c r="C50" s="20"/>
      <c r="D50" s="20"/>
      <c r="E50" s="20"/>
      <c r="F50" s="20"/>
      <c r="G50" s="20"/>
      <c r="H50" s="20"/>
      <c r="I50" s="20"/>
      <c r="J50" s="20"/>
    </row>
  </sheetData>
  <mergeCells count="25">
    <mergeCell ref="B50:J50"/>
    <mergeCell ref="B35:J35"/>
    <mergeCell ref="B47:J47"/>
    <mergeCell ref="B16:J16"/>
    <mergeCell ref="B7:J7"/>
    <mergeCell ref="B46:J46"/>
    <mergeCell ref="B22:J22"/>
    <mergeCell ref="B18:J18"/>
    <mergeCell ref="B27:J27"/>
    <mergeCell ref="A26:J26"/>
    <mergeCell ref="B12:J12"/>
    <mergeCell ref="B48:J48"/>
    <mergeCell ref="B49:J49"/>
    <mergeCell ref="B30:J30"/>
    <mergeCell ref="B24:J24"/>
    <mergeCell ref="B33:J33"/>
    <mergeCell ref="A1:J1"/>
    <mergeCell ref="B20:J20"/>
    <mergeCell ref="B45:J45"/>
    <mergeCell ref="B14:J14"/>
    <mergeCell ref="A43:J43"/>
    <mergeCell ref="B38:J38"/>
    <mergeCell ref="B44:J44"/>
    <mergeCell ref="B10:J10"/>
    <mergeCell ref="B40:J40"/>
  </mergeCells>
  <dataValidations count="5">
    <dataValidation type="list" promptTitle="Score" prompt="0=Absent 1=Weak 2=Partial 3=Good 4=Strong" sqref="E8 E9 E11 E13 E15 E17 E19 E21 E23 E25 E28 E29 E31 E32 E34 E36 E37 E39 E41" xr:uid="{00000000-0002-0000-0000-000000000000}">
      <formula1>"0,1,2,3,4,N/A"</formula1>
    </dataValidation>
    <dataValidation type="list" sqref="F8 F9 F11 F13 F15 F17 F19 F21 F23 F25 F28 F29 F31 F32 F34 F36 F37 F39 F41" xr:uid="{00000000-0002-0000-0000-000001000000}">
      <formula1>"low,medium,high"</formula1>
    </dataValidation>
    <dataValidation type="list" sqref="H8 H9 H11 H13 H15 H17 H19 H21 H23 H25 H28 H29 H31 H32 H34 H36 H37 H39 H41" xr:uid="{00000000-0002-0000-0000-000002000000}">
      <formula1>"observed,inferred,external"</formula1>
    </dataValidation>
    <dataValidation type="list" sqref="G4" xr:uid="{00000000-0002-0000-0000-000003000000}">
      <formula1>"human,agent,hybrid"</formula1>
    </dataValidation>
    <dataValidation type="list" sqref="B48" xr:uid="{00000000-0002-0000-0000-000004000000}">
      <formula1>"pass,conditional_pass,rework_required,reject,not_reviewable"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Reference Architecture Assessme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Rohde</cp:lastModifiedBy>
  <dcterms:created xsi:type="dcterms:W3CDTF">2026-03-18T20:53:57Z</dcterms:created>
  <dcterms:modified xsi:type="dcterms:W3CDTF">2026-03-19T04:19:12Z</dcterms:modified>
</cp:coreProperties>
</file>